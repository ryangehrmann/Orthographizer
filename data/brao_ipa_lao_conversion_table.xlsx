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y Drive\00 Coding Projects\Orthographizer\data\"/>
    </mc:Choice>
  </mc:AlternateContent>
  <xr:revisionPtr revIDLastSave="0" documentId="13_ncr:1_{5AF50270-AEE3-481E-BE6D-27BEBE29264F}" xr6:coauthVersionLast="47" xr6:coauthVersionMax="47" xr10:uidLastSave="{00000000-0000-0000-0000-000000000000}"/>
  <bookViews>
    <workbookView xWindow="6150" yWindow="1350" windowWidth="21600" windowHeight="11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1" l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<sst xmlns="http://schemas.openxmlformats.org/spreadsheetml/2006/main" count="303" uniqueCount="200">
  <si>
    <t>ipa</t>
  </si>
  <si>
    <t>ortho</t>
  </si>
  <si>
    <t>category</t>
  </si>
  <si>
    <t>unicode</t>
  </si>
  <si>
    <t>note</t>
  </si>
  <si>
    <t>ກ</t>
  </si>
  <si>
    <t>consonant</t>
  </si>
  <si>
    <t>ko kai, velar stop, class ² (low)</t>
  </si>
  <si>
    <t>ຄ</t>
  </si>
  <si>
    <t>kho khwai, aspirated velar, class ³ (low)</t>
  </si>
  <si>
    <t>ງ</t>
  </si>
  <si>
    <t>ngo ngua, velar nasal, class ³ (low)</t>
  </si>
  <si>
    <t>ຈ</t>
  </si>
  <si>
    <t>cho chuak, palatal stop, class ² (low)</t>
  </si>
  <si>
    <t>ສ</t>
  </si>
  <si>
    <t>so suea, fricative, class ¹ (high)</t>
  </si>
  <si>
    <t>ຍ</t>
  </si>
  <si>
    <t>nyo nyung, palatal nasal, class ³ (low)</t>
  </si>
  <si>
    <t>ດ</t>
  </si>
  <si>
    <t>do dek, dental stop, class ² (low)</t>
  </si>
  <si>
    <t>ຕ</t>
  </si>
  <si>
    <t>to ta, unaspirated dental, class ² (high)</t>
  </si>
  <si>
    <t>ທ</t>
  </si>
  <si>
    <t>tho thahan, aspirated dental, class ³ (low)</t>
  </si>
  <si>
    <t>ນ</t>
  </si>
  <si>
    <t>no nok, dental nasal, class ³ (low)</t>
  </si>
  <si>
    <t>ບ</t>
  </si>
  <si>
    <t>bo be, bilabial stop, class ² (low)</t>
  </si>
  <si>
    <t>ປ</t>
  </si>
  <si>
    <t>po pa, unaspirated bilabial, class ² (high)</t>
  </si>
  <si>
    <t>ພ</t>
  </si>
  <si>
    <t>pho phan, aspirated bilabial, class ³ (low)</t>
  </si>
  <si>
    <t>ຟ</t>
  </si>
  <si>
    <t>fo fon, labiodental fricative, class ³ (low)</t>
  </si>
  <si>
    <t>ມ</t>
  </si>
  <si>
    <t>mo maew, bilabial nasal, class ³ (low)</t>
  </si>
  <si>
    <t>ຢ</t>
  </si>
  <si>
    <t>ຣ</t>
  </si>
  <si>
    <t>ro rot, rhotic, class ³ (low) (rare/archaic)</t>
  </si>
  <si>
    <t>ລ</t>
  </si>
  <si>
    <t>lo ling, lateral, class ³ (low)</t>
  </si>
  <si>
    <t>ວ</t>
  </si>
  <si>
    <t>wo wai, labio-velar glide, class ³ (low)</t>
  </si>
  <si>
    <t>ຮ</t>
  </si>
  <si>
    <t>ho tam, low-class h equivalent</t>
  </si>
  <si>
    <t>ອ</t>
  </si>
  <si>
    <t>o ang, glottal stop / vowel seat, class ² (low)</t>
  </si>
  <si>
    <t>consonant_final</t>
  </si>
  <si>
    <t>aː</t>
  </si>
  <si>
    <t>vowel</t>
  </si>
  <si>
    <t>i</t>
  </si>
  <si>
    <t>iː</t>
  </si>
  <si>
    <t>u</t>
  </si>
  <si>
    <t>uː</t>
  </si>
  <si>
    <t>eː</t>
  </si>
  <si>
    <t>ເ◌</t>
  </si>
  <si>
    <t>ɛː</t>
  </si>
  <si>
    <t>ແ◌</t>
  </si>
  <si>
    <t>oː</t>
  </si>
  <si>
    <t>ໂ◌</t>
  </si>
  <si>
    <t>ɔː</t>
  </si>
  <si>
    <t>◌ໍ</t>
  </si>
  <si>
    <t>ia</t>
  </si>
  <si>
    <t>ເ◌ຍ</t>
  </si>
  <si>
    <t>ua</t>
  </si>
  <si>
    <t>aj</t>
  </si>
  <si>
    <t>ໃ◌</t>
  </si>
  <si>
    <t>ໄ◌</t>
  </si>
  <si>
    <t>aw</t>
  </si>
  <si>
    <t>ເ◌ົາ</t>
  </si>
  <si>
    <t>am</t>
  </si>
  <si>
    <t>aʔ</t>
  </si>
  <si>
    <t>◌ະ</t>
  </si>
  <si>
    <t>eʔ</t>
  </si>
  <si>
    <t>ເ◌ະ</t>
  </si>
  <si>
    <t>ɛʔ</t>
  </si>
  <si>
    <t>ແ◌ະ</t>
  </si>
  <si>
    <t>oʔ</t>
  </si>
  <si>
    <t>ໂ◌ະ</t>
  </si>
  <si>
    <t>ɔʔ</t>
  </si>
  <si>
    <t>ເ◌າະ</t>
  </si>
  <si>
    <t>ເ◌ິ</t>
  </si>
  <si>
    <t>yo yak, palatal glide, class ² (mid)</t>
  </si>
  <si>
    <t>◌າ</t>
  </si>
  <si>
    <t>ເ◌ືອ</t>
  </si>
  <si>
    <t>◌ີ</t>
  </si>
  <si>
    <t>◌ິ</t>
  </si>
  <si>
    <t>◌ຶ</t>
  </si>
  <si>
    <t>◌ື</t>
  </si>
  <si>
    <t>◌ຸ</t>
  </si>
  <si>
    <t>◌ູ</t>
  </si>
  <si>
    <t>◌ົວ</t>
  </si>
  <si>
    <t>◌ຳ</t>
  </si>
  <si>
    <t>ɨ</t>
  </si>
  <si>
    <t>ɨː</t>
  </si>
  <si>
    <t>e</t>
  </si>
  <si>
    <t>iʔ</t>
  </si>
  <si>
    <t>ɛ</t>
  </si>
  <si>
    <t>o</t>
  </si>
  <si>
    <t>ɔ</t>
  </si>
  <si>
    <t>əː</t>
  </si>
  <si>
    <t>ə</t>
  </si>
  <si>
    <t>əʔ</t>
  </si>
  <si>
    <t>ເ◌ີ</t>
  </si>
  <si>
    <t>a</t>
  </si>
  <si>
    <t>ɨa</t>
  </si>
  <si>
    <t>◌ິ◌</t>
  </si>
  <si>
    <t>ɨʔ</t>
  </si>
  <si>
    <t>uʔ</t>
  </si>
  <si>
    <t>◌ຶ◌</t>
  </si>
  <si>
    <t>◌ຸ◌</t>
  </si>
  <si>
    <t>ເ◌ັ◌</t>
  </si>
  <si>
    <t>ເ◌ິ◌</t>
  </si>
  <si>
    <t>◌ົ◌</t>
  </si>
  <si>
    <t>ແ◌ັ◌</t>
  </si>
  <si>
    <t>◌ັ◌</t>
  </si>
  <si>
    <t>◌ັອ◌</t>
  </si>
  <si>
    <t>◌ຽ◌</t>
  </si>
  <si>
    <t>◌ວ◌</t>
  </si>
  <si>
    <t>sara ii, open or closed syllable</t>
  </si>
  <si>
    <t>sara i, glottalized</t>
  </si>
  <si>
    <t>sara i, closed syllable</t>
  </si>
  <si>
    <t>sara uee, open or closed syllable</t>
  </si>
  <si>
    <t>sara ue, closed syllable</t>
  </si>
  <si>
    <t>sara ue, glottalized</t>
  </si>
  <si>
    <t>sara uu, open or closed syllable</t>
  </si>
  <si>
    <t>sara u, closed syllable</t>
  </si>
  <si>
    <t>sara u, glottalized</t>
  </si>
  <si>
    <t>sara ee, open or closed syllable</t>
  </si>
  <si>
    <t>sara e, closed syllable</t>
  </si>
  <si>
    <t>sara e, glottalized</t>
  </si>
  <si>
    <t>sara oee, open or closed syllable</t>
  </si>
  <si>
    <t>sara oe, closed syllable</t>
  </si>
  <si>
    <t>sara oe, glottalized</t>
  </si>
  <si>
    <t>sara oo, open or closed syllable</t>
  </si>
  <si>
    <t>sara o, closed syllable</t>
  </si>
  <si>
    <t>sara o, glottalized</t>
  </si>
  <si>
    <t>sara ae, closed syllable</t>
  </si>
  <si>
    <t>sara aee, open or closed syllable</t>
  </si>
  <si>
    <t>sara ae, glottalized</t>
  </si>
  <si>
    <t>sara aa, open or closed syllable</t>
  </si>
  <si>
    <t>sara a, closed syllable</t>
  </si>
  <si>
    <t>sara a, glottazlied</t>
  </si>
  <si>
    <t>sara aoo, open syllable</t>
  </si>
  <si>
    <t>sara aoo, closed syllable</t>
  </si>
  <si>
    <t>◌ອ◌</t>
  </si>
  <si>
    <t>sara ao, closed syllable</t>
  </si>
  <si>
    <t>sara ao, glottalized</t>
  </si>
  <si>
    <t>sara ia, open syllable</t>
  </si>
  <si>
    <t>sara ia, closed syllable</t>
  </si>
  <si>
    <t>sara uea, open or closed syllable</t>
  </si>
  <si>
    <t>sara ua, open syllable</t>
  </si>
  <si>
    <t>sara ua, closed syllable</t>
  </si>
  <si>
    <t>uaʔ</t>
  </si>
  <si>
    <t>◌ົວະ</t>
  </si>
  <si>
    <t>ເ◌ຍະ</t>
  </si>
  <si>
    <t>ເ◌ືອະ</t>
  </si>
  <si>
    <t>iaʔ</t>
  </si>
  <si>
    <t>ɨaʔ</t>
  </si>
  <si>
    <t>sara ia, glottalized</t>
  </si>
  <si>
    <t>sara uea, glottalized</t>
  </si>
  <si>
    <t>sara ua, glottalized</t>
  </si>
  <si>
    <t>sara ai muan, open syllable</t>
  </si>
  <si>
    <t>sara ai noi, open syllable</t>
  </si>
  <si>
    <t>sara ao, open syllable</t>
  </si>
  <si>
    <t>sara am, open syllable</t>
  </si>
  <si>
    <t>k</t>
  </si>
  <si>
    <t>kʰ</t>
  </si>
  <si>
    <t>ŋ</t>
  </si>
  <si>
    <t>c</t>
  </si>
  <si>
    <t>ຊ</t>
  </si>
  <si>
    <t>s</t>
  </si>
  <si>
    <t>ɲ</t>
  </si>
  <si>
    <t>d</t>
  </si>
  <si>
    <t>t</t>
  </si>
  <si>
    <t>tʰ</t>
  </si>
  <si>
    <t>n</t>
  </si>
  <si>
    <t>b</t>
  </si>
  <si>
    <t>p</t>
  </si>
  <si>
    <t>pʰ</t>
  </si>
  <si>
    <t>f</t>
  </si>
  <si>
    <t>ɓ</t>
  </si>
  <si>
    <t>ບຼ</t>
  </si>
  <si>
    <t>m</t>
  </si>
  <si>
    <t>j</t>
  </si>
  <si>
    <t>g</t>
  </si>
  <si>
    <t>ʄ</t>
  </si>
  <si>
    <t>ɟ</t>
  </si>
  <si>
    <t>cʰ</t>
  </si>
  <si>
    <t>ກຼ</t>
  </si>
  <si>
    <t>ຈຼ</t>
  </si>
  <si>
    <t>ຢຼ</t>
  </si>
  <si>
    <t>ດຼ</t>
  </si>
  <si>
    <t>ɗ</t>
  </si>
  <si>
    <t>r</t>
  </si>
  <si>
    <t>l</t>
  </si>
  <si>
    <t>w</t>
  </si>
  <si>
    <t>h</t>
  </si>
  <si>
    <t>ʔ</t>
  </si>
  <si>
    <t>ຍນ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</si>
</sst>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Times New Roman"/>
    </font>
    <font>
      <sz val="11"/>
      <color rgb="FF000000"/>
      <name val="Times New Roman"/>
    </font>
    <font>
      <sz val="9"/>
      <name val="Charis SIL"/>
    </font>
    <font>
      <sz val="11"/>
      <color rgb="FF000000"/>
      <name val="Saysettha OT"/>
      <family val="2"/>
    </font>
    <font>
      <sz val="9"/>
      <name val="Saysettha OT"/>
      <family val="2"/>
    </font>
    <font>
      <sz val="11"/>
      <name val="Times New Roman"/>
      <family val="1"/>
    </font>
    <font>
      <sz val="11"/>
      <name val="Saysettha O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topLeftCell="A27" zoomScale="145" zoomScaleNormal="145" workbookViewId="0">
      <selection activeCell="F29" sqref="F29"/>
    </sheetView>
  </sheetViews>
  <sheetFormatPr defaultRowHeight="15" x14ac:dyDescent="0.25"/>
  <cols>
    <col min="1" max="1" width="5.7109375" customWidth="1"/>
    <col min="2" max="2" width="6.28515625" customWidth="1"/>
    <col min="3" max="3" width="8.7109375" bestFit="1" customWidth="1"/>
    <col min="4" max="4" width="17.42578125" customWidth="1"/>
    <col min="5" max="5" width="7.42578125" customWidth="1"/>
    <col min="6" max="6" width="73.5703125" customWidth="1"/>
  </cols>
  <sheetData>
    <row r="1" spans="1:6" x14ac:dyDescent="0.25">
      <c r="A1" s="1" t="s">
        <v>0</v>
      </c>
      <c r="B1" s="1" t="s">
        <v>1</v>
      </c>
      <c r="C1" s="1"/>
      <c r="D1" s="1" t="s">
        <v>2</v>
      </c>
      <c r="E1" s="2" t="s">
        <v>3</v>
      </c>
      <c r="F1" s="2" t="s">
        <v>4</v>
      </c>
    </row>
    <row r="2" spans="1:6" ht="23.25" x14ac:dyDescent="0.25">
      <c r="A2" s="1" t="s">
        <v>185</v>
      </c>
      <c r="B2" s="10" t="s">
        <v>189</v>
      </c>
      <c r="C2" s="10" t="str">
        <f>"'"&amp;A2&amp;"' : '"&amp;B2&amp;"',"</f>
        <v>'g' : 'ກຼ',</v>
      </c>
      <c r="D2" s="3" t="s">
        <v>6</v>
      </c>
      <c r="E2" s="2"/>
      <c r="F2" s="2"/>
    </row>
    <row r="3" spans="1:6" ht="23.25" x14ac:dyDescent="0.25">
      <c r="A3" s="8" t="s">
        <v>166</v>
      </c>
      <c r="B3" s="6" t="s">
        <v>5</v>
      </c>
      <c r="C3" s="10" t="str">
        <f t="shared" ref="C3:C41" si="0">"'"&amp;A3&amp;"' : '"&amp;B3&amp;"',"</f>
        <v>'k' : 'ກ',</v>
      </c>
      <c r="D3" s="3" t="s">
        <v>6</v>
      </c>
      <c r="F3" s="4" t="s">
        <v>7</v>
      </c>
    </row>
    <row r="4" spans="1:6" ht="23.25" x14ac:dyDescent="0.25">
      <c r="A4" s="1" t="s">
        <v>167</v>
      </c>
      <c r="B4" s="6" t="s">
        <v>8</v>
      </c>
      <c r="C4" s="10" t="str">
        <f t="shared" si="0"/>
        <v>'kʰ' : 'ຄ',</v>
      </c>
      <c r="D4" s="3" t="s">
        <v>6</v>
      </c>
      <c r="F4" s="4" t="s">
        <v>9</v>
      </c>
    </row>
    <row r="5" spans="1:6" ht="23.25" x14ac:dyDescent="0.25">
      <c r="A5" s="1" t="s">
        <v>168</v>
      </c>
      <c r="B5" s="6" t="s">
        <v>10</v>
      </c>
      <c r="C5" s="10" t="str">
        <f t="shared" si="0"/>
        <v>'ŋ' : 'ງ',</v>
      </c>
      <c r="D5" s="3" t="s">
        <v>6</v>
      </c>
      <c r="F5" s="4" t="s">
        <v>11</v>
      </c>
    </row>
    <row r="6" spans="1:6" ht="23.25" x14ac:dyDescent="0.25">
      <c r="A6" s="1" t="s">
        <v>186</v>
      </c>
      <c r="B6" s="6" t="s">
        <v>191</v>
      </c>
      <c r="C6" s="10" t="str">
        <f t="shared" si="0"/>
        <v>'ʄ' : 'ຢຼ',</v>
      </c>
      <c r="D6" s="3" t="s">
        <v>6</v>
      </c>
      <c r="F6" s="4"/>
    </row>
    <row r="7" spans="1:6" ht="23.25" x14ac:dyDescent="0.25">
      <c r="A7" s="1" t="s">
        <v>187</v>
      </c>
      <c r="B7" s="6" t="s">
        <v>190</v>
      </c>
      <c r="C7" s="10" t="str">
        <f t="shared" si="0"/>
        <v>'ɟ' : 'ຈຼ',</v>
      </c>
      <c r="D7" s="3" t="s">
        <v>6</v>
      </c>
      <c r="F7" s="4"/>
    </row>
    <row r="8" spans="1:6" ht="23.25" x14ac:dyDescent="0.25">
      <c r="A8" s="1" t="s">
        <v>169</v>
      </c>
      <c r="B8" s="6" t="s">
        <v>12</v>
      </c>
      <c r="C8" s="10" t="str">
        <f t="shared" si="0"/>
        <v>'c' : 'ຈ',</v>
      </c>
      <c r="D8" s="3" t="s">
        <v>6</v>
      </c>
      <c r="F8" s="4" t="s">
        <v>13</v>
      </c>
    </row>
    <row r="9" spans="1:6" ht="23.25" x14ac:dyDescent="0.25">
      <c r="A9" s="1" t="s">
        <v>188</v>
      </c>
      <c r="B9" s="6" t="s">
        <v>170</v>
      </c>
      <c r="C9" s="10" t="str">
        <f t="shared" si="0"/>
        <v>'cʰ' : 'ຊ',</v>
      </c>
      <c r="D9" s="3" t="s">
        <v>6</v>
      </c>
      <c r="F9" s="4"/>
    </row>
    <row r="10" spans="1:6" ht="23.25" x14ac:dyDescent="0.25">
      <c r="A10" s="8" t="s">
        <v>171</v>
      </c>
      <c r="B10" s="6" t="s">
        <v>14</v>
      </c>
      <c r="C10" s="10" t="str">
        <f t="shared" si="0"/>
        <v>'s' : 'ສ',</v>
      </c>
      <c r="D10" s="3" t="s">
        <v>6</v>
      </c>
      <c r="F10" s="4" t="s">
        <v>15</v>
      </c>
    </row>
    <row r="11" spans="1:6" ht="23.25" x14ac:dyDescent="0.25">
      <c r="A11" s="1" t="s">
        <v>172</v>
      </c>
      <c r="B11" s="6" t="s">
        <v>16</v>
      </c>
      <c r="C11" s="10" t="str">
        <f t="shared" si="0"/>
        <v>'ɲ' : 'ຍ',</v>
      </c>
      <c r="D11" s="3" t="s">
        <v>6</v>
      </c>
      <c r="F11" s="4" t="s">
        <v>17</v>
      </c>
    </row>
    <row r="12" spans="1:6" ht="23.25" x14ac:dyDescent="0.25">
      <c r="A12" s="1" t="s">
        <v>193</v>
      </c>
      <c r="B12" s="6" t="s">
        <v>192</v>
      </c>
      <c r="C12" s="10" t="str">
        <f t="shared" si="0"/>
        <v>'ɗ' : 'ດຼ',</v>
      </c>
      <c r="D12" s="3" t="s">
        <v>6</v>
      </c>
      <c r="F12" s="4"/>
    </row>
    <row r="13" spans="1:6" ht="23.25" x14ac:dyDescent="0.25">
      <c r="A13" s="1" t="s">
        <v>173</v>
      </c>
      <c r="B13" s="6" t="s">
        <v>18</v>
      </c>
      <c r="C13" s="10" t="str">
        <f t="shared" si="0"/>
        <v>'d' : 'ດ',</v>
      </c>
      <c r="D13" s="3" t="s">
        <v>6</v>
      </c>
      <c r="F13" s="4" t="s">
        <v>19</v>
      </c>
    </row>
    <row r="14" spans="1:6" ht="23.25" x14ac:dyDescent="0.25">
      <c r="A14" s="8" t="s">
        <v>174</v>
      </c>
      <c r="B14" s="6" t="s">
        <v>20</v>
      </c>
      <c r="C14" s="10" t="str">
        <f t="shared" si="0"/>
        <v>'t' : 'ຕ',</v>
      </c>
      <c r="D14" s="3" t="s">
        <v>6</v>
      </c>
      <c r="F14" s="4" t="s">
        <v>21</v>
      </c>
    </row>
    <row r="15" spans="1:6" ht="23.25" x14ac:dyDescent="0.25">
      <c r="A15" s="1" t="s">
        <v>175</v>
      </c>
      <c r="B15" s="6" t="s">
        <v>22</v>
      </c>
      <c r="C15" s="10" t="str">
        <f t="shared" si="0"/>
        <v>'tʰ' : 'ທ',</v>
      </c>
      <c r="D15" s="3" t="s">
        <v>6</v>
      </c>
      <c r="F15" s="4" t="s">
        <v>23</v>
      </c>
    </row>
    <row r="16" spans="1:6" ht="23.25" x14ac:dyDescent="0.25">
      <c r="A16" s="1" t="s">
        <v>176</v>
      </c>
      <c r="B16" s="6" t="s">
        <v>24</v>
      </c>
      <c r="C16" s="10" t="str">
        <f t="shared" si="0"/>
        <v>'n' : 'ນ',</v>
      </c>
      <c r="D16" s="3" t="s">
        <v>6</v>
      </c>
      <c r="F16" s="4" t="s">
        <v>25</v>
      </c>
    </row>
    <row r="17" spans="1:6" ht="23.25" x14ac:dyDescent="0.25">
      <c r="A17" s="1" t="s">
        <v>181</v>
      </c>
      <c r="B17" s="6" t="s">
        <v>182</v>
      </c>
      <c r="C17" s="10" t="str">
        <f t="shared" si="0"/>
        <v>'ɓ' : 'ບຼ',</v>
      </c>
      <c r="D17" s="3" t="s">
        <v>6</v>
      </c>
      <c r="F17" s="4"/>
    </row>
    <row r="18" spans="1:6" ht="23.25" x14ac:dyDescent="0.25">
      <c r="A18" s="1" t="s">
        <v>177</v>
      </c>
      <c r="B18" s="6" t="s">
        <v>26</v>
      </c>
      <c r="C18" s="10" t="str">
        <f t="shared" si="0"/>
        <v>'b' : 'ບ',</v>
      </c>
      <c r="D18" s="3" t="s">
        <v>6</v>
      </c>
      <c r="F18" s="4" t="s">
        <v>27</v>
      </c>
    </row>
    <row r="19" spans="1:6" ht="23.25" x14ac:dyDescent="0.25">
      <c r="A19" s="8" t="s">
        <v>178</v>
      </c>
      <c r="B19" s="6" t="s">
        <v>28</v>
      </c>
      <c r="C19" s="10" t="str">
        <f t="shared" si="0"/>
        <v>'p' : 'ປ',</v>
      </c>
      <c r="D19" s="3" t="s">
        <v>6</v>
      </c>
      <c r="F19" s="4" t="s">
        <v>29</v>
      </c>
    </row>
    <row r="20" spans="1:6" ht="23.25" x14ac:dyDescent="0.25">
      <c r="A20" s="1" t="s">
        <v>179</v>
      </c>
      <c r="B20" s="6" t="s">
        <v>30</v>
      </c>
      <c r="C20" s="10" t="str">
        <f t="shared" si="0"/>
        <v>'pʰ' : 'ພ',</v>
      </c>
      <c r="D20" s="3" t="s">
        <v>6</v>
      </c>
      <c r="F20" s="4" t="s">
        <v>31</v>
      </c>
    </row>
    <row r="21" spans="1:6" ht="23.25" x14ac:dyDescent="0.25">
      <c r="A21" s="1" t="s">
        <v>180</v>
      </c>
      <c r="B21" s="6" t="s">
        <v>32</v>
      </c>
      <c r="C21" s="10" t="str">
        <f t="shared" si="0"/>
        <v>'f' : 'ຟ',</v>
      </c>
      <c r="D21" s="3" t="s">
        <v>6</v>
      </c>
      <c r="F21" s="4" t="s">
        <v>33</v>
      </c>
    </row>
    <row r="22" spans="1:6" ht="23.25" x14ac:dyDescent="0.25">
      <c r="A22" s="1" t="s">
        <v>183</v>
      </c>
      <c r="B22" s="6" t="s">
        <v>34</v>
      </c>
      <c r="C22" s="10" t="str">
        <f t="shared" si="0"/>
        <v>'m' : 'ມ',</v>
      </c>
      <c r="D22" s="3" t="s">
        <v>6</v>
      </c>
      <c r="F22" s="4" t="s">
        <v>35</v>
      </c>
    </row>
    <row r="23" spans="1:6" ht="23.25" x14ac:dyDescent="0.25">
      <c r="A23" s="8" t="s">
        <v>184</v>
      </c>
      <c r="B23" s="6" t="s">
        <v>36</v>
      </c>
      <c r="C23" s="10" t="str">
        <f t="shared" si="0"/>
        <v>'j' : 'ຢ',</v>
      </c>
      <c r="D23" s="3" t="s">
        <v>6</v>
      </c>
      <c r="F23" s="9" t="s">
        <v>82</v>
      </c>
    </row>
    <row r="24" spans="1:6" ht="23.25" x14ac:dyDescent="0.25">
      <c r="A24" s="1" t="s">
        <v>194</v>
      </c>
      <c r="B24" s="6" t="s">
        <v>37</v>
      </c>
      <c r="C24" s="10" t="str">
        <f t="shared" si="0"/>
        <v>'r' : 'ຣ',</v>
      </c>
      <c r="D24" s="3" t="s">
        <v>6</v>
      </c>
      <c r="F24" s="4" t="s">
        <v>38</v>
      </c>
    </row>
    <row r="25" spans="1:6" ht="23.25" x14ac:dyDescent="0.25">
      <c r="A25" s="1" t="s">
        <v>195</v>
      </c>
      <c r="B25" s="6" t="s">
        <v>39</v>
      </c>
      <c r="C25" s="10" t="str">
        <f t="shared" si="0"/>
        <v>'l' : 'ລ',</v>
      </c>
      <c r="D25" s="3" t="s">
        <v>6</v>
      </c>
      <c r="F25" s="4" t="s">
        <v>40</v>
      </c>
    </row>
    <row r="26" spans="1:6" ht="23.25" x14ac:dyDescent="0.25">
      <c r="A26" s="1" t="s">
        <v>196</v>
      </c>
      <c r="B26" s="6" t="s">
        <v>41</v>
      </c>
      <c r="C26" s="10" t="str">
        <f t="shared" si="0"/>
        <v>'w' : 'ວ',</v>
      </c>
      <c r="D26" s="3" t="s">
        <v>6</v>
      </c>
      <c r="F26" s="4" t="s">
        <v>42</v>
      </c>
    </row>
    <row r="27" spans="1:6" ht="23.25" x14ac:dyDescent="0.25">
      <c r="A27" s="8" t="s">
        <v>197</v>
      </c>
      <c r="B27" s="6" t="s">
        <v>43</v>
      </c>
      <c r="C27" s="10" t="str">
        <f t="shared" si="0"/>
        <v>'h' : 'ຮ',</v>
      </c>
      <c r="D27" s="3" t="s">
        <v>6</v>
      </c>
      <c r="F27" s="4" t="s">
        <v>44</v>
      </c>
    </row>
    <row r="28" spans="1:6" ht="23.25" x14ac:dyDescent="0.25">
      <c r="A28" s="1" t="s">
        <v>198</v>
      </c>
      <c r="B28" s="6" t="s">
        <v>45</v>
      </c>
      <c r="C28" s="10" t="str">
        <f t="shared" si="0"/>
        <v>'ʔ' : 'ອ',</v>
      </c>
      <c r="D28" s="3" t="s">
        <v>6</v>
      </c>
      <c r="F28" s="4" t="s">
        <v>46</v>
      </c>
    </row>
    <row r="29" spans="1:6" ht="23.25" x14ac:dyDescent="0.25">
      <c r="A29" s="8" t="s">
        <v>166</v>
      </c>
      <c r="B29" s="6" t="s">
        <v>5</v>
      </c>
      <c r="C29" s="10" t="str">
        <f t="shared" si="0"/>
        <v>'k' : 'ກ',</v>
      </c>
      <c r="D29" s="3" t="s">
        <v>47</v>
      </c>
    </row>
    <row r="30" spans="1:6" ht="23.25" x14ac:dyDescent="0.25">
      <c r="A30" s="1" t="s">
        <v>168</v>
      </c>
      <c r="B30" s="6" t="s">
        <v>10</v>
      </c>
      <c r="C30" s="10" t="str">
        <f t="shared" si="0"/>
        <v>'ŋ' : 'ງ',</v>
      </c>
      <c r="D30" s="3" t="s">
        <v>47</v>
      </c>
    </row>
    <row r="31" spans="1:6" ht="23.25" x14ac:dyDescent="0.25">
      <c r="A31" s="1" t="s">
        <v>169</v>
      </c>
      <c r="B31" s="6" t="s">
        <v>12</v>
      </c>
      <c r="C31" s="10" t="str">
        <f t="shared" si="0"/>
        <v>'c' : 'ຈ',</v>
      </c>
      <c r="D31" s="3" t="s">
        <v>47</v>
      </c>
    </row>
    <row r="32" spans="1:6" ht="23.25" x14ac:dyDescent="0.25">
      <c r="A32" s="1" t="s">
        <v>172</v>
      </c>
      <c r="B32" s="6" t="s">
        <v>199</v>
      </c>
      <c r="C32" s="10" t="str">
        <f t="shared" si="0"/>
        <v>'ɲ' : 'ຍນ',</v>
      </c>
      <c r="D32" s="3" t="s">
        <v>47</v>
      </c>
    </row>
    <row r="33" spans="1:6" ht="23.25" x14ac:dyDescent="0.25">
      <c r="A33" s="8" t="s">
        <v>174</v>
      </c>
      <c r="B33" s="6" t="s">
        <v>18</v>
      </c>
      <c r="C33" s="10" t="str">
        <f t="shared" si="0"/>
        <v>'t' : 'ດ',</v>
      </c>
      <c r="D33" s="3" t="s">
        <v>47</v>
      </c>
    </row>
    <row r="34" spans="1:6" ht="23.25" x14ac:dyDescent="0.25">
      <c r="A34" s="8" t="s">
        <v>176</v>
      </c>
      <c r="B34" s="6" t="s">
        <v>24</v>
      </c>
      <c r="C34" s="10" t="str">
        <f t="shared" si="0"/>
        <v>'n' : 'ນ',</v>
      </c>
      <c r="D34" s="3" t="s">
        <v>47</v>
      </c>
    </row>
    <row r="35" spans="1:6" ht="23.25" x14ac:dyDescent="0.25">
      <c r="A35" s="8" t="s">
        <v>178</v>
      </c>
      <c r="B35" s="6" t="s">
        <v>26</v>
      </c>
      <c r="C35" s="10" t="str">
        <f t="shared" si="0"/>
        <v>'p' : 'ບ',</v>
      </c>
      <c r="D35" s="3" t="s">
        <v>47</v>
      </c>
    </row>
    <row r="36" spans="1:6" ht="23.25" x14ac:dyDescent="0.25">
      <c r="A36" s="8" t="s">
        <v>183</v>
      </c>
      <c r="B36" s="6" t="s">
        <v>34</v>
      </c>
      <c r="C36" s="10" t="str">
        <f t="shared" si="0"/>
        <v>'m' : 'ມ',</v>
      </c>
      <c r="D36" s="3" t="s">
        <v>47</v>
      </c>
    </row>
    <row r="37" spans="1:6" ht="23.25" x14ac:dyDescent="0.25">
      <c r="A37" s="8" t="s">
        <v>184</v>
      </c>
      <c r="B37" s="6" t="s">
        <v>16</v>
      </c>
      <c r="C37" s="10" t="str">
        <f t="shared" si="0"/>
        <v>'j' : 'ຍ',</v>
      </c>
      <c r="D37" s="3" t="s">
        <v>47</v>
      </c>
    </row>
    <row r="38" spans="1:6" ht="23.25" x14ac:dyDescent="0.25">
      <c r="A38" s="1" t="s">
        <v>194</v>
      </c>
      <c r="B38" s="6" t="s">
        <v>37</v>
      </c>
      <c r="C38" s="10" t="str">
        <f t="shared" si="0"/>
        <v>'r' : 'ຣ',</v>
      </c>
      <c r="D38" s="3" t="s">
        <v>47</v>
      </c>
    </row>
    <row r="39" spans="1:6" ht="23.25" x14ac:dyDescent="0.25">
      <c r="A39" s="1" t="s">
        <v>195</v>
      </c>
      <c r="B39" s="6" t="s">
        <v>39</v>
      </c>
      <c r="C39" s="10" t="str">
        <f t="shared" si="0"/>
        <v>'l' : 'ລ',</v>
      </c>
      <c r="D39" s="3" t="s">
        <v>47</v>
      </c>
    </row>
    <row r="40" spans="1:6" ht="23.25" x14ac:dyDescent="0.25">
      <c r="A40" s="8" t="s">
        <v>196</v>
      </c>
      <c r="B40" s="6" t="s">
        <v>41</v>
      </c>
      <c r="C40" s="10" t="str">
        <f t="shared" si="0"/>
        <v>'w' : 'ວ',</v>
      </c>
      <c r="D40" s="3" t="s">
        <v>47</v>
      </c>
    </row>
    <row r="41" spans="1:6" ht="23.25" x14ac:dyDescent="0.25">
      <c r="A41" s="5" t="s">
        <v>51</v>
      </c>
      <c r="B41" s="7" t="s">
        <v>85</v>
      </c>
      <c r="C41" s="10" t="str">
        <f>"'"&amp;A41&amp;"' : '',"</f>
        <v>'iː' : '',</v>
      </c>
      <c r="D41" s="1" t="s">
        <v>49</v>
      </c>
      <c r="F41" s="9" t="s">
        <v>119</v>
      </c>
    </row>
    <row r="42" spans="1:6" ht="23.25" x14ac:dyDescent="0.25">
      <c r="A42" s="5" t="s">
        <v>50</v>
      </c>
      <c r="B42" s="7" t="s">
        <v>106</v>
      </c>
      <c r="C42" s="10" t="str">
        <f t="shared" ref="C42:C80" si="1">"'"&amp;A42&amp;"' : '',"</f>
        <v>'i' : '',</v>
      </c>
      <c r="D42" s="1" t="s">
        <v>49</v>
      </c>
      <c r="F42" s="9" t="s">
        <v>121</v>
      </c>
    </row>
    <row r="43" spans="1:6" ht="23.25" x14ac:dyDescent="0.25">
      <c r="A43" s="5" t="s">
        <v>96</v>
      </c>
      <c r="B43" s="7" t="s">
        <v>86</v>
      </c>
      <c r="C43" s="10" t="str">
        <f t="shared" si="1"/>
        <v>'iʔ' : '',</v>
      </c>
      <c r="D43" s="1" t="s">
        <v>49</v>
      </c>
      <c r="F43" s="9" t="s">
        <v>120</v>
      </c>
    </row>
    <row r="44" spans="1:6" ht="23.25" x14ac:dyDescent="0.25">
      <c r="A44" s="5" t="s">
        <v>94</v>
      </c>
      <c r="B44" s="7" t="s">
        <v>88</v>
      </c>
      <c r="C44" s="10" t="str">
        <f t="shared" si="1"/>
        <v>'ɨː' : '',</v>
      </c>
      <c r="D44" s="1" t="s">
        <v>49</v>
      </c>
      <c r="F44" s="9" t="s">
        <v>122</v>
      </c>
    </row>
    <row r="45" spans="1:6" ht="23.25" x14ac:dyDescent="0.25">
      <c r="A45" s="5" t="s">
        <v>93</v>
      </c>
      <c r="B45" s="7" t="s">
        <v>109</v>
      </c>
      <c r="C45" s="10" t="str">
        <f t="shared" si="1"/>
        <v>'ɨ' : '',</v>
      </c>
      <c r="D45" s="1" t="s">
        <v>49</v>
      </c>
      <c r="F45" s="9" t="s">
        <v>123</v>
      </c>
    </row>
    <row r="46" spans="1:6" ht="23.25" x14ac:dyDescent="0.25">
      <c r="A46" s="5" t="s">
        <v>107</v>
      </c>
      <c r="B46" s="7" t="s">
        <v>87</v>
      </c>
      <c r="C46" s="10" t="str">
        <f t="shared" si="1"/>
        <v>'ɨʔ' : '',</v>
      </c>
      <c r="D46" s="1" t="s">
        <v>49</v>
      </c>
      <c r="F46" s="9" t="s">
        <v>124</v>
      </c>
    </row>
    <row r="47" spans="1:6" ht="23.25" x14ac:dyDescent="0.25">
      <c r="A47" s="5" t="s">
        <v>53</v>
      </c>
      <c r="B47" s="7" t="s">
        <v>90</v>
      </c>
      <c r="C47" s="10" t="str">
        <f t="shared" si="1"/>
        <v>'uː' : '',</v>
      </c>
      <c r="D47" s="1" t="s">
        <v>49</v>
      </c>
      <c r="F47" s="9" t="s">
        <v>125</v>
      </c>
    </row>
    <row r="48" spans="1:6" ht="23.25" x14ac:dyDescent="0.25">
      <c r="A48" s="5" t="s">
        <v>52</v>
      </c>
      <c r="B48" s="7" t="s">
        <v>110</v>
      </c>
      <c r="C48" s="10" t="str">
        <f t="shared" si="1"/>
        <v>'u' : '',</v>
      </c>
      <c r="D48" s="1" t="s">
        <v>49</v>
      </c>
      <c r="F48" s="9" t="s">
        <v>126</v>
      </c>
    </row>
    <row r="49" spans="1:6" ht="23.25" x14ac:dyDescent="0.25">
      <c r="A49" s="5" t="s">
        <v>108</v>
      </c>
      <c r="B49" s="7" t="s">
        <v>89</v>
      </c>
      <c r="C49" s="10" t="str">
        <f t="shared" si="1"/>
        <v>'uʔ' : '',</v>
      </c>
      <c r="D49" s="1" t="s">
        <v>49</v>
      </c>
      <c r="F49" s="9" t="s">
        <v>127</v>
      </c>
    </row>
    <row r="50" spans="1:6" ht="23.25" x14ac:dyDescent="0.25">
      <c r="A50" s="5" t="s">
        <v>54</v>
      </c>
      <c r="B50" s="7" t="s">
        <v>55</v>
      </c>
      <c r="C50" s="10" t="str">
        <f t="shared" si="1"/>
        <v>'eː' : '',</v>
      </c>
      <c r="D50" s="1" t="s">
        <v>49</v>
      </c>
      <c r="F50" s="9" t="s">
        <v>128</v>
      </c>
    </row>
    <row r="51" spans="1:6" ht="23.25" x14ac:dyDescent="0.25">
      <c r="A51" s="5" t="s">
        <v>95</v>
      </c>
      <c r="B51" s="7" t="s">
        <v>111</v>
      </c>
      <c r="C51" s="10" t="str">
        <f t="shared" si="1"/>
        <v>'e' : '',</v>
      </c>
      <c r="D51" s="1" t="s">
        <v>49</v>
      </c>
      <c r="F51" s="9" t="s">
        <v>129</v>
      </c>
    </row>
    <row r="52" spans="1:6" ht="23.25" x14ac:dyDescent="0.25">
      <c r="A52" s="5" t="s">
        <v>73</v>
      </c>
      <c r="B52" s="7" t="s">
        <v>74</v>
      </c>
      <c r="C52" s="10" t="str">
        <f t="shared" si="1"/>
        <v>'eʔ' : '',</v>
      </c>
      <c r="D52" s="1" t="s">
        <v>49</v>
      </c>
      <c r="F52" s="9" t="s">
        <v>130</v>
      </c>
    </row>
    <row r="53" spans="1:6" ht="23.25" x14ac:dyDescent="0.25">
      <c r="A53" s="5" t="s">
        <v>100</v>
      </c>
      <c r="B53" s="7" t="s">
        <v>103</v>
      </c>
      <c r="C53" s="10" t="str">
        <f t="shared" si="1"/>
        <v>'əː' : '',</v>
      </c>
      <c r="D53" s="1" t="s">
        <v>49</v>
      </c>
      <c r="F53" s="9" t="s">
        <v>131</v>
      </c>
    </row>
    <row r="54" spans="1:6" ht="23.25" x14ac:dyDescent="0.25">
      <c r="A54" s="5" t="s">
        <v>101</v>
      </c>
      <c r="B54" s="7" t="s">
        <v>112</v>
      </c>
      <c r="C54" s="10" t="str">
        <f t="shared" si="1"/>
        <v>'ə' : '',</v>
      </c>
      <c r="D54" s="1" t="s">
        <v>49</v>
      </c>
      <c r="F54" s="9" t="s">
        <v>132</v>
      </c>
    </row>
    <row r="55" spans="1:6" ht="23.25" x14ac:dyDescent="0.25">
      <c r="A55" s="5" t="s">
        <v>102</v>
      </c>
      <c r="B55" s="7" t="s">
        <v>81</v>
      </c>
      <c r="C55" s="10" t="str">
        <f t="shared" si="1"/>
        <v>'əʔ' : '',</v>
      </c>
      <c r="D55" s="1" t="s">
        <v>49</v>
      </c>
      <c r="F55" s="9" t="s">
        <v>133</v>
      </c>
    </row>
    <row r="56" spans="1:6" ht="23.25" x14ac:dyDescent="0.25">
      <c r="A56" s="5" t="s">
        <v>58</v>
      </c>
      <c r="B56" s="7" t="s">
        <v>59</v>
      </c>
      <c r="C56" s="10" t="str">
        <f t="shared" si="1"/>
        <v>'oː' : '',</v>
      </c>
      <c r="D56" s="1" t="s">
        <v>49</v>
      </c>
      <c r="F56" s="9" t="s">
        <v>134</v>
      </c>
    </row>
    <row r="57" spans="1:6" ht="23.25" x14ac:dyDescent="0.25">
      <c r="A57" s="5" t="s">
        <v>98</v>
      </c>
      <c r="B57" s="7" t="s">
        <v>113</v>
      </c>
      <c r="C57" s="10" t="str">
        <f t="shared" si="1"/>
        <v>'o' : '',</v>
      </c>
      <c r="D57" s="1" t="s">
        <v>49</v>
      </c>
      <c r="F57" s="9" t="s">
        <v>135</v>
      </c>
    </row>
    <row r="58" spans="1:6" ht="23.25" x14ac:dyDescent="0.25">
      <c r="A58" s="5" t="s">
        <v>77</v>
      </c>
      <c r="B58" s="7" t="s">
        <v>78</v>
      </c>
      <c r="C58" s="10" t="str">
        <f t="shared" si="1"/>
        <v>'oʔ' : '',</v>
      </c>
      <c r="D58" s="1" t="s">
        <v>49</v>
      </c>
      <c r="F58" s="9" t="s">
        <v>136</v>
      </c>
    </row>
    <row r="59" spans="1:6" ht="23.25" x14ac:dyDescent="0.25">
      <c r="A59" s="5" t="s">
        <v>56</v>
      </c>
      <c r="B59" s="7" t="s">
        <v>57</v>
      </c>
      <c r="C59" s="10" t="str">
        <f t="shared" si="1"/>
        <v>'ɛː' : '',</v>
      </c>
      <c r="D59" s="1" t="s">
        <v>49</v>
      </c>
      <c r="F59" s="9" t="s">
        <v>138</v>
      </c>
    </row>
    <row r="60" spans="1:6" ht="23.25" x14ac:dyDescent="0.25">
      <c r="A60" s="5" t="s">
        <v>97</v>
      </c>
      <c r="B60" s="7" t="s">
        <v>114</v>
      </c>
      <c r="C60" s="10" t="str">
        <f t="shared" si="1"/>
        <v>'ɛ' : '',</v>
      </c>
      <c r="D60" s="1" t="s">
        <v>49</v>
      </c>
      <c r="F60" s="9" t="s">
        <v>137</v>
      </c>
    </row>
    <row r="61" spans="1:6" ht="23.25" x14ac:dyDescent="0.25">
      <c r="A61" s="5" t="s">
        <v>75</v>
      </c>
      <c r="B61" s="7" t="s">
        <v>76</v>
      </c>
      <c r="C61" s="10" t="str">
        <f t="shared" si="1"/>
        <v>'ɛʔ' : '',</v>
      </c>
      <c r="D61" s="1" t="s">
        <v>49</v>
      </c>
      <c r="F61" s="9" t="s">
        <v>139</v>
      </c>
    </row>
    <row r="62" spans="1:6" ht="23.25" x14ac:dyDescent="0.25">
      <c r="A62" s="5" t="s">
        <v>48</v>
      </c>
      <c r="B62" s="7" t="s">
        <v>83</v>
      </c>
      <c r="C62" s="10" t="str">
        <f t="shared" si="1"/>
        <v>'aː' : '',</v>
      </c>
      <c r="D62" s="1" t="s">
        <v>49</v>
      </c>
      <c r="F62" s="9" t="s">
        <v>140</v>
      </c>
    </row>
    <row r="63" spans="1:6" ht="23.25" x14ac:dyDescent="0.25">
      <c r="A63" s="5" t="s">
        <v>104</v>
      </c>
      <c r="B63" s="7" t="s">
        <v>115</v>
      </c>
      <c r="C63" s="10" t="str">
        <f t="shared" si="1"/>
        <v>'a' : '',</v>
      </c>
      <c r="D63" s="1" t="s">
        <v>49</v>
      </c>
      <c r="F63" s="9" t="s">
        <v>141</v>
      </c>
    </row>
    <row r="64" spans="1:6" ht="23.25" x14ac:dyDescent="0.25">
      <c r="A64" s="5" t="s">
        <v>71</v>
      </c>
      <c r="B64" s="7" t="s">
        <v>72</v>
      </c>
      <c r="C64" s="10" t="str">
        <f t="shared" si="1"/>
        <v>'aʔ' : '',</v>
      </c>
      <c r="D64" s="1" t="s">
        <v>49</v>
      </c>
      <c r="F64" s="9" t="s">
        <v>142</v>
      </c>
    </row>
    <row r="65" spans="1:6" ht="23.25" x14ac:dyDescent="0.25">
      <c r="A65" s="5" t="s">
        <v>60</v>
      </c>
      <c r="B65" s="7" t="s">
        <v>61</v>
      </c>
      <c r="C65" s="10" t="str">
        <f t="shared" si="1"/>
        <v>'ɔː' : '',</v>
      </c>
      <c r="D65" s="1" t="s">
        <v>49</v>
      </c>
      <c r="F65" s="9" t="s">
        <v>143</v>
      </c>
    </row>
    <row r="66" spans="1:6" ht="23.25" x14ac:dyDescent="0.25">
      <c r="A66" s="5" t="s">
        <v>60</v>
      </c>
      <c r="B66" s="7" t="s">
        <v>145</v>
      </c>
      <c r="C66" s="10" t="str">
        <f t="shared" si="1"/>
        <v>'ɔː' : '',</v>
      </c>
      <c r="D66" s="1" t="s">
        <v>49</v>
      </c>
      <c r="F66" s="9" t="s">
        <v>144</v>
      </c>
    </row>
    <row r="67" spans="1:6" ht="23.25" x14ac:dyDescent="0.25">
      <c r="A67" s="5" t="s">
        <v>99</v>
      </c>
      <c r="B67" s="7" t="s">
        <v>116</v>
      </c>
      <c r="C67" s="10" t="str">
        <f t="shared" si="1"/>
        <v>'ɔ' : '',</v>
      </c>
      <c r="D67" s="1" t="s">
        <v>49</v>
      </c>
      <c r="F67" s="9" t="s">
        <v>146</v>
      </c>
    </row>
    <row r="68" spans="1:6" ht="23.25" x14ac:dyDescent="0.25">
      <c r="A68" s="5" t="s">
        <v>79</v>
      </c>
      <c r="B68" s="7" t="s">
        <v>80</v>
      </c>
      <c r="C68" s="10" t="str">
        <f t="shared" si="1"/>
        <v>'ɔʔ' : '',</v>
      </c>
      <c r="D68" s="1" t="s">
        <v>49</v>
      </c>
      <c r="F68" s="9" t="s">
        <v>147</v>
      </c>
    </row>
    <row r="69" spans="1:6" ht="23.25" x14ac:dyDescent="0.25">
      <c r="A69" s="5" t="s">
        <v>62</v>
      </c>
      <c r="B69" s="7" t="s">
        <v>63</v>
      </c>
      <c r="C69" s="10" t="str">
        <f t="shared" si="1"/>
        <v>'ia' : '',</v>
      </c>
      <c r="D69" s="1" t="s">
        <v>49</v>
      </c>
      <c r="F69" s="9" t="s">
        <v>148</v>
      </c>
    </row>
    <row r="70" spans="1:6" ht="23.25" x14ac:dyDescent="0.25">
      <c r="A70" s="5" t="s">
        <v>62</v>
      </c>
      <c r="B70" s="7" t="s">
        <v>117</v>
      </c>
      <c r="C70" s="10" t="str">
        <f t="shared" si="1"/>
        <v>'ia' : '',</v>
      </c>
      <c r="D70" s="1" t="s">
        <v>49</v>
      </c>
      <c r="F70" s="9" t="s">
        <v>149</v>
      </c>
    </row>
    <row r="71" spans="1:6" ht="23.25" x14ac:dyDescent="0.25">
      <c r="A71" s="5" t="s">
        <v>157</v>
      </c>
      <c r="B71" s="7" t="s">
        <v>155</v>
      </c>
      <c r="C71" s="10" t="str">
        <f t="shared" si="1"/>
        <v>'iaʔ' : '',</v>
      </c>
      <c r="D71" s="1" t="s">
        <v>49</v>
      </c>
      <c r="F71" s="9" t="s">
        <v>159</v>
      </c>
    </row>
    <row r="72" spans="1:6" ht="23.25" x14ac:dyDescent="0.25">
      <c r="A72" s="5" t="s">
        <v>105</v>
      </c>
      <c r="B72" s="7" t="s">
        <v>84</v>
      </c>
      <c r="C72" s="10" t="str">
        <f t="shared" si="1"/>
        <v>'ɨa' : '',</v>
      </c>
      <c r="D72" s="1" t="s">
        <v>49</v>
      </c>
      <c r="F72" s="9" t="s">
        <v>150</v>
      </c>
    </row>
    <row r="73" spans="1:6" ht="23.25" x14ac:dyDescent="0.25">
      <c r="A73" s="5" t="s">
        <v>158</v>
      </c>
      <c r="B73" s="7" t="s">
        <v>156</v>
      </c>
      <c r="C73" s="10" t="str">
        <f t="shared" si="1"/>
        <v>'ɨaʔ' : '',</v>
      </c>
      <c r="D73" s="1" t="s">
        <v>49</v>
      </c>
      <c r="F73" s="9" t="s">
        <v>160</v>
      </c>
    </row>
    <row r="74" spans="1:6" ht="23.25" x14ac:dyDescent="0.25">
      <c r="A74" s="5" t="s">
        <v>64</v>
      </c>
      <c r="B74" s="7" t="s">
        <v>91</v>
      </c>
      <c r="C74" s="10" t="str">
        <f t="shared" si="1"/>
        <v>'ua' : '',</v>
      </c>
      <c r="D74" s="1" t="s">
        <v>49</v>
      </c>
      <c r="F74" s="9" t="s">
        <v>151</v>
      </c>
    </row>
    <row r="75" spans="1:6" ht="23.25" x14ac:dyDescent="0.25">
      <c r="A75" s="5" t="s">
        <v>64</v>
      </c>
      <c r="B75" s="7" t="s">
        <v>118</v>
      </c>
      <c r="C75" s="10" t="str">
        <f t="shared" si="1"/>
        <v>'ua' : '',</v>
      </c>
      <c r="D75" s="1" t="s">
        <v>49</v>
      </c>
      <c r="F75" s="9" t="s">
        <v>152</v>
      </c>
    </row>
    <row r="76" spans="1:6" ht="23.25" x14ac:dyDescent="0.25">
      <c r="A76" s="5" t="s">
        <v>153</v>
      </c>
      <c r="B76" s="7" t="s">
        <v>154</v>
      </c>
      <c r="C76" s="10" t="str">
        <f t="shared" si="1"/>
        <v>'uaʔ' : '',</v>
      </c>
      <c r="D76" s="1" t="s">
        <v>49</v>
      </c>
      <c r="F76" s="9" t="s">
        <v>161</v>
      </c>
    </row>
    <row r="77" spans="1:6" ht="23.25" x14ac:dyDescent="0.25">
      <c r="A77" s="5" t="s">
        <v>65</v>
      </c>
      <c r="B77" s="7" t="s">
        <v>66</v>
      </c>
      <c r="C77" s="10" t="str">
        <f t="shared" si="1"/>
        <v>'aj' : '',</v>
      </c>
      <c r="D77" s="1" t="s">
        <v>49</v>
      </c>
      <c r="F77" s="9" t="s">
        <v>162</v>
      </c>
    </row>
    <row r="78" spans="1:6" ht="23.25" x14ac:dyDescent="0.25">
      <c r="A78" s="5" t="s">
        <v>65</v>
      </c>
      <c r="B78" s="7" t="s">
        <v>67</v>
      </c>
      <c r="C78" s="10" t="str">
        <f t="shared" si="1"/>
        <v>'aj' : '',</v>
      </c>
      <c r="D78" s="1" t="s">
        <v>49</v>
      </c>
      <c r="F78" s="9" t="s">
        <v>163</v>
      </c>
    </row>
    <row r="79" spans="1:6" ht="23.25" x14ac:dyDescent="0.25">
      <c r="A79" s="5" t="s">
        <v>68</v>
      </c>
      <c r="B79" s="7" t="s">
        <v>69</v>
      </c>
      <c r="C79" s="10" t="str">
        <f t="shared" si="1"/>
        <v>'aw' : '',</v>
      </c>
      <c r="D79" s="1" t="s">
        <v>49</v>
      </c>
      <c r="F79" s="9" t="s">
        <v>164</v>
      </c>
    </row>
    <row r="80" spans="1:6" ht="23.25" x14ac:dyDescent="0.25">
      <c r="A80" s="5" t="s">
        <v>70</v>
      </c>
      <c r="B80" s="7" t="s">
        <v>92</v>
      </c>
      <c r="C80" s="10" t="str">
        <f t="shared" si="1"/>
        <v>'am' : '',</v>
      </c>
      <c r="D80" s="1" t="s">
        <v>49</v>
      </c>
      <c r="F80" s="9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Gehrmann</cp:lastModifiedBy>
  <dcterms:created xsi:type="dcterms:W3CDTF">2026-03-03T07:33:47Z</dcterms:created>
  <dcterms:modified xsi:type="dcterms:W3CDTF">2026-03-09T06:55:57Z</dcterms:modified>
</cp:coreProperties>
</file>